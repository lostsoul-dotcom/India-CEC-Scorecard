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67523E77-1322-4A50-B9F1-5006504622B0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Read Me" sheetId="1" r:id="rId1"/>
    <sheet name="Scorecard (Ranked)" sheetId="2" r:id="rId2"/>
    <sheet name="Score Matrix" sheetId="3" r:id="rId3"/>
    <sheet name="Source Note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" i="3" l="1"/>
  <c r="I17" i="3"/>
  <c r="H17" i="3"/>
  <c r="G17" i="3"/>
  <c r="F17" i="3"/>
  <c r="E17" i="3"/>
  <c r="D17" i="3"/>
  <c r="C17" i="3"/>
  <c r="B17" i="3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<sst xmlns="http://schemas.openxmlformats.org/spreadsheetml/2006/main" count="286" uniqueCount="150">
  <si>
    <t>CEC Scorecard — Documented Allegations &amp; Controversies Linked to Ruling-Party Advantage</t>
  </si>
  <si>
    <t>WHAT THIS IS</t>
  </si>
  <si>
    <t>This workbook tallies, across 9 Chief Election Commissioners (CECs) of India, how many documented allegations, disputes, or</t>
  </si>
  <si>
    <t>controversies — as reported in mainstream press, court filings, and the Election Commission's own statements — touch on the</t>
  </si>
  <si>
    <t>theme of the CEC/EC being perceived as favourable to the ruling party of the day. It is NOT a judicial finding, NOT an EC/government</t>
  </si>
  <si>
    <t>admission of wrongdoing, and NOT a claim that any individual acted with partisan intent.</t>
  </si>
  <si>
    <t>WHAT THIS IS NOT</t>
  </si>
  <si>
    <t>- It is not proof of guilt or bias. Most entries are contested: the EC and/or government have disputed or rejected the allegation</t>
  </si>
  <si>
    <t xml:space="preserve">  in nearly every row where a 'Yes' is recorded for the current CEC.</t>
  </si>
  <si>
    <t>- It does not control for the fact that media/legal scrutiny of a sitting CEC (Gyanesh Kumar) is naturally far higher and more</t>
  </si>
  <si>
    <t xml:space="preserve">  recent than scrutiny of commissioners who retired 10-35 years ago — so volume of allegations is not an apples-to-apples measure</t>
  </si>
  <si>
    <t xml:space="preserve">  of actual behaviour across very different eras, media environments, and legal frameworks.</t>
  </si>
  <si>
    <t>- Several parameters (e.g., 'direct confrontation with government', 'court involvement in EC authority') were deliberately EXCLUDED</t>
  </si>
  <si>
    <t xml:space="preserve">  from the score because high confrontation with the government is evidence of INDEPENDENCE, not favouritism — including it would</t>
  </si>
  <si>
    <t xml:space="preserve">  bias the score in the wrong direction.</t>
  </si>
  <si>
    <t>- Statutory immunity (Section 16, 2023 Act) was also excluded from the score: it is a structural/legal feature of the office since</t>
  </si>
  <si>
    <t xml:space="preserve">  2023, not an indicator that any CEC behaved in a partisan way.</t>
  </si>
  <si>
    <t>HOW THE SCORE IS BUILT</t>
  </si>
  <si>
    <t>- 15 parameters (see 'Score Matrix' tab) were each scored per CEC: 1 = clearly documented/confirmed allegation or pattern,</t>
  </si>
  <si>
    <t xml:space="preserve">  0.75 = confirmed but qualified/asymmetric, 0.4-0.6 = partial, contested, or lower-intensity pattern, 0.25 = marginal, 0 = no</t>
  </si>
  <si>
    <t xml:space="preserve">  evidence found / not applicable.</t>
  </si>
  <si>
    <t>- Scores were assigned after fact-checking each claim against live news reporting (Sep-Oct 2026) and historical records</t>
  </si>
  <si>
    <t xml:space="preserve">  (1990s-2020s). See the 'Source Notes' tab for the evidence behind every single score.</t>
  </si>
  <si>
    <t>- Maximum possible score = 15.0. Higher score = more extensive, better-documented allegations of ruling-party-favourable conduct —</t>
  </si>
  <si>
    <t xml:space="preserve">  NOT a higher degree of proven guilt.</t>
  </si>
  <si>
    <t>FACT-CHECK CORRECTIONS TO YOUR ORIGINAL FILE</t>
  </si>
  <si>
    <t>- Bihar SIR 2025 numbers are CONFIRMED accurate: draft list cut ~65 lakh names (7.89cr -&gt; 7.24cr); final roll net reduction</t>
  </si>
  <si>
    <t xml:space="preserve">  was ~47 lakh (7.89cr -&gt; 7.42cr after 21.53 lakh additions). Both figures in your original sheet check out against EC data.</t>
  </si>
  <si>
    <t>- Sandhu/Joshi '14 objections in 10 months' is CONFIRMED (Indian Express investigation, Sep 23 2026); EC maintains all final</t>
  </si>
  <si>
    <t xml:space="preserve">  decisions were unanimous.</t>
  </si>
  <si>
    <t>- Rahul Gandhi 7-day affidavit ultimatum (Aug 17, 2025) and Tejashwi Yadav dual-EPIC notice (Aug 2025) are both CONFIRMED.</t>
  </si>
  <si>
    <t>- Section 16 (2023 Act) immunity text is CONFIRMED. Note: as of Oct 2026, this is being actively challenged — a PIL is before</t>
  </si>
  <si>
    <t xml:space="preserve">  the Supreme Court and the INDIA bloc has announced it will file a joint challenge — but no final Supreme Court ruling on the</t>
  </si>
  <si>
    <t xml:space="preserve">  immunity question had been reported as of this writing; treat 'Supreme Court issued notice' as pending/unconfirmed.</t>
  </si>
  <si>
    <t>- Ashok Lavasa's 2019 dissent (5 cases: 4 re: Modi, 1 re: Shah), the EC's 2:1 vote not to record dissent, and the RTI refusal</t>
  </si>
  <si>
    <t xml:space="preserve">  citing 'danger to life/safety' are all CONFIRMED verbatim against contemporaneous reporting.</t>
  </si>
  <si>
    <t>- Gopalaswami's recommendation to remove Navin Chawla (Jan 2009) and T.N. Seshan v. Union of India (1995) are both CONFIRMED.</t>
  </si>
  <si>
    <t>BOTTOM LINE</t>
  </si>
  <si>
    <t>On this tally, Gyanesh Kumar's tenure has by far the highest concentration of documented ruling-party-advantage allegations,</t>
  </si>
  <si>
    <t>followed at a distance by Sunil Arora (dominated by the 2019 Lavasa/Modi-Shah episode) and Rajiv Kumar (2024 general election).</t>
  </si>
  <si>
    <t>This reflects the volume and specificity of controversy reported about the SIR exercise and the Sandhu-Joshi rift, not a legal</t>
  </si>
  <si>
    <t>finding against any individual.</t>
  </si>
  <si>
    <t>Rank</t>
  </si>
  <si>
    <t>Chief Election Commissioner</t>
  </si>
  <si>
    <t>Tenure era (approx.)</t>
  </si>
  <si>
    <t>Total Score (/15)</t>
  </si>
  <si>
    <t>Allegation Density</t>
  </si>
  <si>
    <t>Headline driver</t>
  </si>
  <si>
    <t>Gyanesh Kumar</t>
  </si>
  <si>
    <t>2025–present</t>
  </si>
  <si>
    <t>Nationwide SIR voter-roll revision; Sandhu/Joshi 14 objections; SC petitions on Commission authority</t>
  </si>
  <si>
    <t>Sunil Arora</t>
  </si>
  <si>
    <t>2018–2021</t>
  </si>
  <si>
    <t>Ashok Lavasa's 2019 dissent over Modi/Shah MCC clean chits; RTI refusal</t>
  </si>
  <si>
    <t>Rajiv Kumar</t>
  </si>
  <si>
    <t>2022–2025</t>
  </si>
  <si>
    <t>2024 general-election neutrality allegations; Maharashtra/Haryana roll disputes</t>
  </si>
  <si>
    <t>T.N. Seshan</t>
  </si>
  <si>
    <t>1990–1996</t>
  </si>
  <si>
    <t>Battle with government over multi-member Commission structure (SC case)</t>
  </si>
  <si>
    <t>N.G. Gopalaswami</t>
  </si>
  <si>
    <t>2006–2009</t>
  </si>
  <si>
    <t>Recommended removal of fellow EC Navin Chawla for alleged partisanship</t>
  </si>
  <si>
    <t>Sushil Chandra</t>
  </si>
  <si>
    <t>2021–2022</t>
  </si>
  <si>
    <t>2022 state-election controversies</t>
  </si>
  <si>
    <t>J.M. Lyngdoh</t>
  </si>
  <si>
    <t>2001–2004</t>
  </si>
  <si>
    <t>General partisanship accusations; limited documented escalation</t>
  </si>
  <si>
    <t>S.Y. Quraishi</t>
  </si>
  <si>
    <t>2010–2012</t>
  </si>
  <si>
    <t>O.P. Rawat</t>
  </si>
  <si>
    <t>2018</t>
  </si>
  <si>
    <t>Lowest documented controversy among commissioners reviewed</t>
  </si>
  <si>
    <t>Note: Score reflects volume/intensity of documented allegations and disputes, not a finding of proven partisan bias. See 'Read Me' tab.</t>
  </si>
  <si>
    <t>Parameter</t>
  </si>
  <si>
    <t>1. Voter-roll revision alleged to advantage ruling party</t>
  </si>
  <si>
    <t>2. Documented mass deletion/exclusion just before election</t>
  </si>
  <si>
    <t>3. Internal EC dissent over electoral administration</t>
  </si>
  <si>
    <t>4. CEC accused of acting without full Commission's approval</t>
  </si>
  <si>
    <t>5. Action/inaction involving the PM personally</t>
  </si>
  <si>
    <t>6. EC majority cleared PM despite commissioner dissent (documented)</t>
  </si>
  <si>
    <t>7. Commissioner's dissent subsequently kept from public record</t>
  </si>
  <si>
    <t>8. Cash/benefit transfer to voters during election period</t>
  </si>
  <si>
    <t>9. EC seen as permitting ruling-party advantage during active campaign</t>
  </si>
  <si>
    <t>10. CCTV/webcasting transparency controversy</t>
  </si>
  <si>
    <t>11. 'Vote theft'/manipulation allegation supported by video</t>
  </si>
  <si>
    <t>12. EC refuses/restricts access to evidence opposition requested</t>
  </si>
  <si>
    <t>13. Formal parliamentary/judicial removal attempt against CEC</t>
  </si>
  <si>
    <t>14. CEC/EC accused of political partisanship by opponents</t>
  </si>
  <si>
    <t>15. CEC becomes a central, sustained political controversy</t>
  </si>
  <si>
    <t>TOTAL (/15)</t>
  </si>
  <si>
    <t>CEC</t>
  </si>
  <si>
    <t>Score</t>
  </si>
  <si>
    <t>Fact-check note / source basis</t>
  </si>
  <si>
    <t>Yes — nationwide SIR; opposition alleges mass exclusion; ~13 crore names affected; ECI rejects motive allegation</t>
  </si>
  <si>
    <t>Yes — allegations re: Maharashtra/Haryana rolls &amp; 2024 polls; ECI rejected manipulation claims</t>
  </si>
  <si>
    <t>Some roll/EVM controversies, not comparable to nationwide SIR</t>
  </si>
  <si>
    <t>No equivalent nationwide roll controversy</t>
  </si>
  <si>
    <t>No equivalent at this scale</t>
  </si>
  <si>
    <t>No comparable nationwide roll exercise</t>
  </si>
  <si>
    <t>Bihar SIR: draft list ~65 lakh fewer names; final roll showed net reduction of ~47 lakh (7.89cr to 7.42cr) — CONFIRMED by EC/press data</t>
  </si>
  <si>
    <t>Opposition alleged roll manipulation, no equivalent documented SIR-scale exercise</t>
  </si>
  <si>
    <t>Sandhu &amp; Joshi recorded objections 14 times in 10 months (Oct 2025-Aug 2026) — CONFIRMED by Indian Express investigation; EC says decisions unanimous</t>
  </si>
  <si>
    <t>No comparable public rupture identified</t>
  </si>
  <si>
    <t>Lavasa dissented on Modi/Shah MCC clean chits — CONFIRMED (2019)</t>
  </si>
  <si>
    <t>Different form: Gopalaswami himself sought removal of EC Navin Chawla — CONFIRMED (2009)</t>
  </si>
  <si>
    <t>Seshan vs two newly appointed ECs (Gill, Krishnamurthy), 1993-95 — CONFIRMED, went to Supreme Court</t>
  </si>
  <si>
    <t>Two ECs say decisions issued without requisite Commission approval; SC hearing pleas on this (Oct 5, 2026) — CONFIRMED, live SC matter</t>
  </si>
  <si>
    <t>Lavasa's dispute was about recording minority decisions, not about the whole Commission being bypassed</t>
  </si>
  <si>
    <t>Different institutional dispute (sought removal of a colleague, not accused of bypassing them)</t>
  </si>
  <si>
    <t>Seshan's dispute was the opposite: he wanted superior individual authority; SC rejected that — CONFIRMED (T.N. Seshan v. Union of India, 1995)</t>
  </si>
  <si>
    <t>Opposition alleges favourable treatment of Modi/BJP; largely unadjudicated allegation, not an established finding</t>
  </si>
  <si>
    <t>Opposition repeatedly alleged favourable treatment of Modi during 2024 polls; ECI defended its decisions</t>
  </si>
  <si>
    <t>Commission majority (2:1) gave Modi/Shah clean chits in multiple MCC cases; Lavasa dissented 5 times — CONFIRMED</t>
  </si>
  <si>
    <t>Not Modi-era; Seshan instead accused of targeting specific parties/candidates</t>
  </si>
  <si>
    <t>Asymmetric enforcement pattern: notices issued to Tejashwi Yadav (EPIC card) &amp; Rahul Gandhi (7-day affidavit demand) — both CONFIRMED; no equivalent personal MCC notice to Modi/Shah found in sources</t>
  </si>
  <si>
    <t>2019 Modi/Shah MCC clean chits over Lavasa's dissent — CONFIRMED</t>
  </si>
  <si>
    <t>Current dispute concerns transparency of internal objections; EC says differences are part of deliberation, decisions unanimous</t>
  </si>
  <si>
    <t>Lavasa's demand to record dissent in orders rejected 2:1; RTI request for his dissent notes also refused citing safety — CONFIRMED</t>
  </si>
  <si>
    <t>Bihar: Mukhyamantri Mahila Rojgar Yojana ₹10,000 transfers on Oct 17/24/31 &amp; Nov 7, 2025 — during MCC (effective Oct 6) — CONFIRMED (RJD complaint, PIL in Patna HC); officials/EC held scheme pre-approved, not a violation</t>
  </si>
  <si>
    <t>Maharashtra 'Ladki Bahin' scheme generated similar controversy, overlaps/predates Kumar's tenure</t>
  </si>
  <si>
    <t>Bihar cash-transfer controversy; opposition asked why transfers were allowed during MCC — CONFIRMED complaint filed</t>
  </si>
  <si>
    <t>Opposition allegations re: 2024 campaign enforcement; ECI published defence/enforcement stats</t>
  </si>
  <si>
    <t>2019 Modi/Shah MCC controversy — CONFIRMED</t>
  </si>
  <si>
    <t>Allegation often ran the opposite way (accused of favouring opponents via aggressive intervention) — not a ruling-party-favourable pattern</t>
  </si>
  <si>
    <t>ECI opposed releasing polling-station CCTV/webcasting footage citing voter privacy/security; Congress demanded access — CONFIRMED</t>
  </si>
  <si>
    <t>Transparency/EVM disputes existed, but not this exact CCTV issue</t>
  </si>
  <si>
    <t>Technology unavailable in this form historically</t>
  </si>
  <si>
    <t>Congress circulated videos alleging deletion; EC said one viral Bihar video was AI-generated/misleading; Gandhi's Mahadevapura allegations separate — CONFIRMED mixed picture</t>
  </si>
  <si>
    <t>Opposition allegations re: Maharashtra/Haryana data, different evidentiary basis</t>
  </si>
  <si>
    <t>CCTV footage access dispute — CONFIRMED</t>
  </si>
  <si>
    <t>Opposition demanded greater data access/transparency</t>
  </si>
  <si>
    <t>Lavasa's dissent-note disclosure refused under RTI citing safety concerns — CONFIRMED</t>
  </si>
  <si>
    <t>Opposition submitted removal notices/PILs alleging misconduct; SC hearing pleas Oct 5, 2026 — CONFIRMED, ongoing</t>
  </si>
  <si>
    <t>He sought removal of a colleague EC — different direction, not opposition seeking his removal</t>
  </si>
  <si>
    <t>No comparable successful removal process</t>
  </si>
  <si>
    <t>Central accusation surrounding SIR — CONFIRMED, widespread</t>
  </si>
  <si>
    <t>Opposition challenged ECI neutrality through 2024 polls — CONFIRMED</t>
  </si>
  <si>
    <t>Yes, in controversy around 2022 state elections</t>
  </si>
  <si>
    <t>Yes, particularly after Modi/Shah clean chits — CONFIRMED</t>
  </si>
  <si>
    <t>Yes, to a lesser documented degree</t>
  </si>
  <si>
    <t>Yes</t>
  </si>
  <si>
    <t>Yes — notably, the accusation of partisanship here was levelled by the CEC himself at a fellow EC</t>
  </si>
  <si>
    <t>Yes, but from multiple political directions, not solely pro-ruling-party</t>
  </si>
  <si>
    <t>Exceptionally prominent — nationwide protests, removal demands — CONFIRMED</t>
  </si>
  <si>
    <t>Moderate/high</t>
  </si>
  <si>
    <t>Lower</t>
  </si>
  <si>
    <t>Moderate</t>
  </si>
  <si>
    <t>Extremely prominent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</si>
</sst>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color rgb="FF000000"/>
      <name val="Arial"/>
      <charset val="1"/>
    </font>
    <font>
      <b/>
      <sz val="10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sz val="10"/>
      <name val="Arial"/>
      <charset val="1"/>
    </font>
    <font>
      <sz val="10"/>
      <color rgb="FFFFFFFF"/>
      <name val="Arial"/>
      <charset val="1"/>
    </font>
    <font>
      <sz val="10"/>
      <color rgb="FFBFBFB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F9E79F"/>
        <bgColor rgb="FFFFCC99"/>
      </patternFill>
    </fill>
    <fill>
      <patternFill patternType="solid">
        <fgColor rgb="FFFFFFFF"/>
        <bgColor rgb="FFEAEDED"/>
      </patternFill>
    </fill>
    <fill>
      <patternFill patternType="solid">
        <fgColor rgb="FFE67E22"/>
        <bgColor rgb="FFFF9900"/>
      </patternFill>
    </fill>
    <fill>
      <patternFill patternType="solid">
        <fgColor rgb="FFEAEDED"/>
        <bgColor rgb="FFD9E1F2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0" borderId="0" xfId="0" applyFont="1"/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horizontal="center" textRotation="45" wrapText="1"/>
    </xf>
    <xf numFmtId="0" fontId="7" fillId="0" borderId="0" xfId="0" applyFont="1" applyAlignment="1">
      <alignment vertical="center" wrapText="1"/>
    </xf>
    <xf numFmtId="2" fontId="8" fillId="3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9" fillId="5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2" fontId="5" fillId="8" borderId="0" xfId="0" applyNumberFormat="1" applyFont="1" applyFill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EDED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showGridLines="0" zoomScaleNormal="100" workbookViewId="0"/>
  </sheetViews>
  <sheetFormatPr defaultColWidth="8.7109375" defaultRowHeight="15" customHeight="1"/>
  <cols>
    <col min="1" max="1" width="110" customWidth="1"/>
  </cols>
  <sheetData>
    <row r="1" spans="1:1" ht="24" customHeight="1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/>
    </row>
    <row r="9" spans="1:1">
      <c r="A9" s="3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 t="s">
        <v>15</v>
      </c>
    </row>
    <row r="19" spans="1:1">
      <c r="A19" s="2" t="s">
        <v>16</v>
      </c>
    </row>
    <row r="20" spans="1:1">
      <c r="A20" s="2"/>
    </row>
    <row r="21" spans="1:1">
      <c r="A21" s="3" t="s">
        <v>17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20</v>
      </c>
    </row>
    <row r="25" spans="1:1">
      <c r="A25" s="2" t="s">
        <v>21</v>
      </c>
    </row>
    <row r="26" spans="1:1">
      <c r="A26" s="2" t="s">
        <v>22</v>
      </c>
    </row>
    <row r="27" spans="1:1">
      <c r="A27" s="2" t="s">
        <v>23</v>
      </c>
    </row>
    <row r="28" spans="1:1">
      <c r="A28" s="2" t="s">
        <v>24</v>
      </c>
    </row>
    <row r="29" spans="1:1">
      <c r="A29" s="2"/>
    </row>
    <row r="30" spans="1:1">
      <c r="A30" s="3" t="s">
        <v>25</v>
      </c>
    </row>
    <row r="31" spans="1:1">
      <c r="A31" s="2" t="s">
        <v>26</v>
      </c>
    </row>
    <row r="32" spans="1:1">
      <c r="A32" s="2" t="s">
        <v>27</v>
      </c>
    </row>
    <row r="33" spans="1:1">
      <c r="A33" s="2" t="s">
        <v>28</v>
      </c>
    </row>
    <row r="34" spans="1:1">
      <c r="A34" s="2" t="s">
        <v>29</v>
      </c>
    </row>
    <row r="35" spans="1:1">
      <c r="A35" s="2" t="s">
        <v>30</v>
      </c>
    </row>
    <row r="36" spans="1:1">
      <c r="A36" s="2" t="s">
        <v>31</v>
      </c>
    </row>
    <row r="37" spans="1:1">
      <c r="A37" s="2" t="s">
        <v>32</v>
      </c>
    </row>
    <row r="38" spans="1:1">
      <c r="A38" s="2" t="s">
        <v>33</v>
      </c>
    </row>
    <row r="39" spans="1:1">
      <c r="A39" s="2" t="s">
        <v>34</v>
      </c>
    </row>
    <row r="40" spans="1:1">
      <c r="A40" s="2" t="s">
        <v>35</v>
      </c>
    </row>
    <row r="41" spans="1:1">
      <c r="A41" s="2" t="s">
        <v>36</v>
      </c>
    </row>
    <row r="42" spans="1:1">
      <c r="A42" s="2"/>
    </row>
    <row r="43" spans="1:1">
      <c r="A43" s="3" t="s">
        <v>37</v>
      </c>
    </row>
    <row r="44" spans="1:1">
      <c r="A44" s="2" t="s">
        <v>38</v>
      </c>
    </row>
    <row r="45" spans="1:1">
      <c r="A45" s="2" t="s">
        <v>39</v>
      </c>
    </row>
    <row r="46" spans="1:1">
      <c r="A46" s="2" t="s">
        <v>40</v>
      </c>
    </row>
    <row r="47" spans="1:1">
      <c r="A47" s="2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3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customHeight="1"/>
  <cols>
    <col min="1" max="1" width="6" customWidth="1"/>
    <col min="2" max="2" width="22" customWidth="1"/>
    <col min="3" max="3" width="16" customWidth="1"/>
    <col min="4" max="4" width="14" customWidth="1"/>
    <col min="5" max="5" width="16" customWidth="1"/>
    <col min="6" max="6" width="58" customWidth="1"/>
  </cols>
  <sheetData>
    <row r="2" spans="1:6" ht="26.85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</row>
    <row r="3" spans="1:6" ht="23.85">
      <c r="A3">
        <v>1</v>
      </c>
      <c r="B3" s="5" t="s">
        <v>48</v>
      </c>
      <c r="C3" t="s">
        <v>49</v>
      </c>
      <c r="D3" s="6">
        <v>12.85</v>
      </c>
      <c r="E3" s="7">
        <f>D3/15</f>
        <v>0.85666666666666669</v>
      </c>
      <c r="F3" s="8" t="s">
        <v>50</v>
      </c>
    </row>
    <row r="4" spans="1:6" ht="23.85">
      <c r="A4">
        <v>2</v>
      </c>
      <c r="B4" s="5" t="s">
        <v>51</v>
      </c>
      <c r="C4" t="s">
        <v>52</v>
      </c>
      <c r="D4" s="6">
        <v>7.85</v>
      </c>
      <c r="E4" s="7">
        <f>D4/15</f>
        <v>0.52333333333333332</v>
      </c>
      <c r="F4" s="8" t="s">
        <v>53</v>
      </c>
    </row>
    <row r="5" spans="1:6" ht="23.85">
      <c r="A5">
        <v>3</v>
      </c>
      <c r="B5" s="5" t="s">
        <v>54</v>
      </c>
      <c r="C5" t="s">
        <v>55</v>
      </c>
      <c r="D5" s="6">
        <v>6.3</v>
      </c>
      <c r="E5" s="7">
        <f>D5/15</f>
        <v>0.42</v>
      </c>
      <c r="F5" s="8" t="s">
        <v>56</v>
      </c>
    </row>
    <row r="6" spans="1:6" ht="23.85">
      <c r="A6">
        <v>4</v>
      </c>
      <c r="B6" s="5" t="s">
        <v>57</v>
      </c>
      <c r="C6" t="s">
        <v>58</v>
      </c>
      <c r="D6" s="6">
        <v>2.5</v>
      </c>
      <c r="E6" s="7">
        <f>D6/15</f>
        <v>0.16666666666666666</v>
      </c>
      <c r="F6" s="8" t="s">
        <v>59</v>
      </c>
    </row>
    <row r="7" spans="1:6" ht="23.85">
      <c r="A7">
        <v>5</v>
      </c>
      <c r="B7" s="5" t="s">
        <v>60</v>
      </c>
      <c r="C7" t="s">
        <v>61</v>
      </c>
      <c r="D7" s="6">
        <v>2.2999999999999998</v>
      </c>
      <c r="E7" s="7">
        <f>D7/15</f>
        <v>0.15333333333333332</v>
      </c>
      <c r="F7" s="8" t="s">
        <v>62</v>
      </c>
    </row>
    <row r="8" spans="1:6">
      <c r="A8">
        <v>6</v>
      </c>
      <c r="B8" s="5" t="s">
        <v>63</v>
      </c>
      <c r="C8" t="s">
        <v>64</v>
      </c>
      <c r="D8" s="6">
        <v>1.65</v>
      </c>
      <c r="E8" s="7">
        <f>D8/15</f>
        <v>0.11</v>
      </c>
      <c r="F8" s="8" t="s">
        <v>65</v>
      </c>
    </row>
    <row r="9" spans="1:6">
      <c r="A9">
        <v>7</v>
      </c>
      <c r="B9" s="5" t="s">
        <v>66</v>
      </c>
      <c r="C9" t="s">
        <v>67</v>
      </c>
      <c r="D9" s="6">
        <v>1.3</v>
      </c>
      <c r="E9" s="7">
        <f>D9/15</f>
        <v>8.666666666666667E-2</v>
      </c>
      <c r="F9" s="8" t="s">
        <v>68</v>
      </c>
    </row>
    <row r="10" spans="1:6">
      <c r="A10">
        <v>8</v>
      </c>
      <c r="B10" s="5" t="s">
        <v>69</v>
      </c>
      <c r="C10" t="s">
        <v>70</v>
      </c>
      <c r="D10" s="6">
        <v>1.1000000000000001</v>
      </c>
      <c r="E10" s="7">
        <f>D10/15</f>
        <v>7.3333333333333334E-2</v>
      </c>
      <c r="F10" s="8" t="s">
        <v>68</v>
      </c>
    </row>
    <row r="11" spans="1:6">
      <c r="A11">
        <v>9</v>
      </c>
      <c r="B11" s="5" t="s">
        <v>71</v>
      </c>
      <c r="C11" t="s">
        <v>72</v>
      </c>
      <c r="D11" s="6">
        <v>0.65</v>
      </c>
      <c r="E11" s="7">
        <f>D11/15</f>
        <v>4.3333333333333335E-2</v>
      </c>
      <c r="F11" s="8" t="s">
        <v>73</v>
      </c>
    </row>
    <row r="13" spans="1:6">
      <c r="A13" s="18" t="s">
        <v>74</v>
      </c>
      <c r="B13" s="18"/>
      <c r="C13" s="18"/>
      <c r="D13" s="18"/>
      <c r="E13" s="18"/>
      <c r="F13" s="18"/>
    </row>
  </sheetData>
  <mergeCells count="1"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tabSelected="1" zoomScaleNormal="100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ColWidth="8.7109375" defaultRowHeight="15" customHeight="1"/>
  <cols>
    <col min="1" max="1" width="48" customWidth="1"/>
    <col min="2" max="10" width="11" customWidth="1"/>
  </cols>
  <sheetData>
    <row r="1" spans="1:10" ht="69.75" customHeight="1">
      <c r="A1" s="9" t="s">
        <v>75</v>
      </c>
      <c r="B1" s="10" t="s">
        <v>48</v>
      </c>
      <c r="C1" s="10" t="s">
        <v>54</v>
      </c>
      <c r="D1" s="10" t="s">
        <v>63</v>
      </c>
      <c r="E1" s="10" t="s">
        <v>51</v>
      </c>
      <c r="F1" s="10" t="s">
        <v>71</v>
      </c>
      <c r="G1" s="10" t="s">
        <v>69</v>
      </c>
      <c r="H1" s="10" t="s">
        <v>60</v>
      </c>
      <c r="I1" s="10" t="s">
        <v>66</v>
      </c>
      <c r="J1" s="10" t="s">
        <v>57</v>
      </c>
    </row>
    <row r="2" spans="1:10">
      <c r="A2" s="11" t="s">
        <v>76</v>
      </c>
      <c r="B2" s="12">
        <v>1</v>
      </c>
      <c r="C2" s="12">
        <v>1</v>
      </c>
      <c r="D2" s="13">
        <v>0.4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</row>
    <row r="3" spans="1:10" ht="23.85">
      <c r="A3" s="11" t="s">
        <v>77</v>
      </c>
      <c r="B3" s="12">
        <v>1</v>
      </c>
      <c r="C3" s="13">
        <v>0.4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</row>
    <row r="4" spans="1:10">
      <c r="A4" s="11" t="s">
        <v>78</v>
      </c>
      <c r="B4" s="12">
        <v>1</v>
      </c>
      <c r="C4" s="14">
        <v>0</v>
      </c>
      <c r="D4" s="14">
        <v>0</v>
      </c>
      <c r="E4" s="12">
        <v>1</v>
      </c>
      <c r="F4" s="14">
        <v>0</v>
      </c>
      <c r="G4" s="14">
        <v>0</v>
      </c>
      <c r="H4" s="15">
        <v>0.75</v>
      </c>
      <c r="I4" s="14">
        <v>0</v>
      </c>
      <c r="J4" s="12">
        <v>1</v>
      </c>
    </row>
    <row r="5" spans="1:10" ht="23.85">
      <c r="A5" s="11" t="s">
        <v>79</v>
      </c>
      <c r="B5" s="12">
        <v>1</v>
      </c>
      <c r="C5" s="14">
        <v>0</v>
      </c>
      <c r="D5" s="14">
        <v>0</v>
      </c>
      <c r="E5" s="13">
        <v>0.4</v>
      </c>
      <c r="F5" s="14">
        <v>0</v>
      </c>
      <c r="G5" s="14">
        <v>0</v>
      </c>
      <c r="H5" s="16">
        <v>0.25</v>
      </c>
      <c r="I5" s="14">
        <v>0</v>
      </c>
      <c r="J5" s="14">
        <v>0</v>
      </c>
    </row>
    <row r="6" spans="1:10">
      <c r="A6" s="11" t="s">
        <v>80</v>
      </c>
      <c r="B6" s="13">
        <v>0.5</v>
      </c>
      <c r="C6" s="15">
        <v>0.75</v>
      </c>
      <c r="D6" s="14">
        <v>0</v>
      </c>
      <c r="E6" s="12">
        <v>1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</row>
    <row r="7" spans="1:10" ht="23.85">
      <c r="A7" s="11" t="s">
        <v>81</v>
      </c>
      <c r="B7" s="15">
        <v>0.75</v>
      </c>
      <c r="C7" s="14">
        <v>0</v>
      </c>
      <c r="D7" s="14">
        <v>0</v>
      </c>
      <c r="E7" s="12">
        <v>1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</row>
    <row r="8" spans="1:10" ht="23.85">
      <c r="A8" s="11" t="s">
        <v>82</v>
      </c>
      <c r="B8" s="13">
        <v>0.5</v>
      </c>
      <c r="C8" s="14">
        <v>0</v>
      </c>
      <c r="D8" s="14">
        <v>0</v>
      </c>
      <c r="E8" s="12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</row>
    <row r="9" spans="1:10">
      <c r="A9" s="11" t="s">
        <v>83</v>
      </c>
      <c r="B9" s="15">
        <v>0.75</v>
      </c>
      <c r="C9" s="13">
        <v>0.5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</row>
    <row r="10" spans="1:10" ht="23.85">
      <c r="A10" s="11" t="s">
        <v>84</v>
      </c>
      <c r="B10" s="15">
        <v>0.75</v>
      </c>
      <c r="C10" s="15">
        <v>0.75</v>
      </c>
      <c r="D10" s="14">
        <v>0</v>
      </c>
      <c r="E10" s="12">
        <v>1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</row>
    <row r="11" spans="1:10">
      <c r="A11" s="11" t="s">
        <v>85</v>
      </c>
      <c r="B11" s="12">
        <v>1</v>
      </c>
      <c r="C11" s="13">
        <v>0.3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</row>
    <row r="12" spans="1:10">
      <c r="A12" s="11" t="s">
        <v>86</v>
      </c>
      <c r="B12" s="15">
        <v>0.6</v>
      </c>
      <c r="C12" s="13">
        <v>0.5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</row>
    <row r="13" spans="1:10" ht="23.85">
      <c r="A13" s="11" t="s">
        <v>87</v>
      </c>
      <c r="B13" s="12">
        <v>1</v>
      </c>
      <c r="C13" s="13">
        <v>0.4</v>
      </c>
      <c r="D13" s="14">
        <v>0</v>
      </c>
      <c r="E13" s="15">
        <v>0.75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</row>
    <row r="14" spans="1:10" ht="23.85">
      <c r="A14" s="11" t="s">
        <v>88</v>
      </c>
      <c r="B14" s="12">
        <v>1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</row>
    <row r="15" spans="1:10">
      <c r="A15" s="11" t="s">
        <v>89</v>
      </c>
      <c r="B15" s="12">
        <v>1</v>
      </c>
      <c r="C15" s="12">
        <v>1</v>
      </c>
      <c r="D15" s="15">
        <v>0.75</v>
      </c>
      <c r="E15" s="12">
        <v>1</v>
      </c>
      <c r="F15" s="13">
        <v>0.4</v>
      </c>
      <c r="G15" s="15">
        <v>0.6</v>
      </c>
      <c r="H15" s="15">
        <v>0.6</v>
      </c>
      <c r="I15" s="15">
        <v>0.6</v>
      </c>
      <c r="J15" s="13">
        <v>0.5</v>
      </c>
    </row>
    <row r="16" spans="1:10">
      <c r="A16" s="11" t="s">
        <v>90</v>
      </c>
      <c r="B16" s="12">
        <v>1</v>
      </c>
      <c r="C16" s="15">
        <v>0.7</v>
      </c>
      <c r="D16" s="13">
        <v>0.5</v>
      </c>
      <c r="E16" s="15">
        <v>0.7</v>
      </c>
      <c r="F16" s="16">
        <v>0.25</v>
      </c>
      <c r="G16" s="13">
        <v>0.5</v>
      </c>
      <c r="H16" s="15">
        <v>0.7</v>
      </c>
      <c r="I16" s="15">
        <v>0.7</v>
      </c>
      <c r="J16" s="12">
        <v>1</v>
      </c>
    </row>
    <row r="17" spans="1:10">
      <c r="A17" s="5" t="s">
        <v>91</v>
      </c>
      <c r="B17" s="17">
        <f>SUM(B2:B16)</f>
        <v>12.85</v>
      </c>
      <c r="C17" s="17">
        <f>SUM(C2:C16)</f>
        <v>6.3</v>
      </c>
      <c r="D17" s="17">
        <f>SUM(D2:D16)</f>
        <v>1.65</v>
      </c>
      <c r="E17" s="17">
        <f>SUM(E2:E16)</f>
        <v>7.8500000000000005</v>
      </c>
      <c r="F17" s="17">
        <f>SUM(F2:F16)</f>
        <v>0.65</v>
      </c>
      <c r="G17" s="17">
        <f>SUM(G2:G16)</f>
        <v>1.1000000000000001</v>
      </c>
      <c r="H17" s="17">
        <f>SUM(H2:H16)</f>
        <v>2.2999999999999998</v>
      </c>
      <c r="I17" s="17">
        <f>SUM(I2:I16)</f>
        <v>1.2999999999999998</v>
      </c>
      <c r="J17" s="17">
        <f>SUM(J2:J16)</f>
        <v>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40" customWidth="1"/>
    <col min="2" max="2" width="18" customWidth="1"/>
    <col min="3" max="3" width="8" customWidth="1"/>
    <col min="4" max="4" width="95" customWidth="1"/>
  </cols>
  <sheetData>
    <row r="1" spans="1:4">
      <c r="A1" s="9" t="s">
        <v>75</v>
      </c>
      <c r="B1" s="9" t="s">
        <v>92</v>
      </c>
      <c r="C1" s="9" t="s">
        <v>93</v>
      </c>
      <c r="D1" s="9" t="s">
        <v>94</v>
      </c>
    </row>
    <row r="2" spans="1:4" ht="23.85">
      <c r="A2" s="8" t="s">
        <v>76</v>
      </c>
      <c r="B2" t="s">
        <v>48</v>
      </c>
      <c r="C2" s="6">
        <v>1</v>
      </c>
      <c r="D2" s="8" t="s">
        <v>95</v>
      </c>
    </row>
    <row r="3" spans="1:4" ht="23.85">
      <c r="A3" s="8" t="s">
        <v>76</v>
      </c>
      <c r="B3" t="s">
        <v>54</v>
      </c>
      <c r="C3" s="6">
        <v>1</v>
      </c>
      <c r="D3" s="8" t="s">
        <v>96</v>
      </c>
    </row>
    <row r="4" spans="1:4" ht="23.85">
      <c r="A4" s="8" t="s">
        <v>76</v>
      </c>
      <c r="B4" t="s">
        <v>63</v>
      </c>
      <c r="C4" s="6">
        <v>0.4</v>
      </c>
      <c r="D4" s="8" t="s">
        <v>97</v>
      </c>
    </row>
    <row r="5" spans="1:4" ht="23.85">
      <c r="A5" s="8" t="s">
        <v>76</v>
      </c>
      <c r="B5" t="s">
        <v>51</v>
      </c>
      <c r="C5" s="6">
        <v>0</v>
      </c>
      <c r="D5" s="8" t="s">
        <v>98</v>
      </c>
    </row>
    <row r="6" spans="1:4" ht="23.85">
      <c r="A6" s="8" t="s">
        <v>76</v>
      </c>
      <c r="B6" t="s">
        <v>69</v>
      </c>
      <c r="C6" s="6">
        <v>0</v>
      </c>
      <c r="D6" s="8" t="s">
        <v>99</v>
      </c>
    </row>
    <row r="7" spans="1:4" ht="23.85">
      <c r="A7" s="8" t="s">
        <v>76</v>
      </c>
      <c r="B7" t="s">
        <v>57</v>
      </c>
      <c r="C7" s="6">
        <v>0</v>
      </c>
      <c r="D7" s="8" t="s">
        <v>100</v>
      </c>
    </row>
    <row r="8" spans="1:4" ht="23.85">
      <c r="A8" s="8" t="s">
        <v>77</v>
      </c>
      <c r="B8" t="s">
        <v>48</v>
      </c>
      <c r="C8" s="6">
        <v>1</v>
      </c>
      <c r="D8" s="8" t="s">
        <v>101</v>
      </c>
    </row>
    <row r="9" spans="1:4" ht="23.85">
      <c r="A9" s="8" t="s">
        <v>77</v>
      </c>
      <c r="B9" t="s">
        <v>54</v>
      </c>
      <c r="C9" s="6">
        <v>0.4</v>
      </c>
      <c r="D9" s="8" t="s">
        <v>102</v>
      </c>
    </row>
    <row r="10" spans="1:4" ht="23.85">
      <c r="A10" s="8" t="s">
        <v>78</v>
      </c>
      <c r="B10" t="s">
        <v>48</v>
      </c>
      <c r="C10" s="6">
        <v>1</v>
      </c>
      <c r="D10" s="8" t="s">
        <v>103</v>
      </c>
    </row>
    <row r="11" spans="1:4" ht="23.85">
      <c r="A11" s="8" t="s">
        <v>78</v>
      </c>
      <c r="B11" t="s">
        <v>54</v>
      </c>
      <c r="C11" s="6">
        <v>0</v>
      </c>
      <c r="D11" s="8" t="s">
        <v>104</v>
      </c>
    </row>
    <row r="12" spans="1:4" ht="23.85">
      <c r="A12" s="8" t="s">
        <v>78</v>
      </c>
      <c r="B12" t="s">
        <v>51</v>
      </c>
      <c r="C12" s="6">
        <v>1</v>
      </c>
      <c r="D12" s="8" t="s">
        <v>105</v>
      </c>
    </row>
    <row r="13" spans="1:4" ht="23.85">
      <c r="A13" s="8" t="s">
        <v>78</v>
      </c>
      <c r="B13" t="s">
        <v>60</v>
      </c>
      <c r="C13" s="6">
        <v>0.75</v>
      </c>
      <c r="D13" s="8" t="s">
        <v>106</v>
      </c>
    </row>
    <row r="14" spans="1:4" ht="23.85">
      <c r="A14" s="8" t="s">
        <v>78</v>
      </c>
      <c r="B14" t="s">
        <v>57</v>
      </c>
      <c r="C14" s="6">
        <v>1</v>
      </c>
      <c r="D14" s="8" t="s">
        <v>107</v>
      </c>
    </row>
    <row r="15" spans="1:4" ht="23.85">
      <c r="A15" s="8" t="s">
        <v>79</v>
      </c>
      <c r="B15" t="s">
        <v>48</v>
      </c>
      <c r="C15" s="6">
        <v>1</v>
      </c>
      <c r="D15" s="8" t="s">
        <v>108</v>
      </c>
    </row>
    <row r="16" spans="1:4" ht="23.85">
      <c r="A16" s="8" t="s">
        <v>79</v>
      </c>
      <c r="B16" t="s">
        <v>51</v>
      </c>
      <c r="C16" s="6">
        <v>0.4</v>
      </c>
      <c r="D16" s="8" t="s">
        <v>109</v>
      </c>
    </row>
    <row r="17" spans="1:4" ht="23.85">
      <c r="A17" s="8" t="s">
        <v>79</v>
      </c>
      <c r="B17" t="s">
        <v>60</v>
      </c>
      <c r="C17" s="6">
        <v>0.25</v>
      </c>
      <c r="D17" s="8" t="s">
        <v>110</v>
      </c>
    </row>
    <row r="18" spans="1:4" ht="23.85">
      <c r="A18" s="8" t="s">
        <v>79</v>
      </c>
      <c r="B18" t="s">
        <v>57</v>
      </c>
      <c r="C18" s="6">
        <v>0</v>
      </c>
      <c r="D18" s="8" t="s">
        <v>111</v>
      </c>
    </row>
    <row r="19" spans="1:4" ht="23.85">
      <c r="A19" s="8" t="s">
        <v>80</v>
      </c>
      <c r="B19" t="s">
        <v>48</v>
      </c>
      <c r="C19" s="6">
        <v>0.5</v>
      </c>
      <c r="D19" s="8" t="s">
        <v>112</v>
      </c>
    </row>
    <row r="20" spans="1:4">
      <c r="A20" s="8" t="s">
        <v>80</v>
      </c>
      <c r="B20" t="s">
        <v>54</v>
      </c>
      <c r="C20" s="6">
        <v>0.75</v>
      </c>
      <c r="D20" s="8" t="s">
        <v>113</v>
      </c>
    </row>
    <row r="21" spans="1:4" ht="23.85">
      <c r="A21" s="8" t="s">
        <v>80</v>
      </c>
      <c r="B21" t="s">
        <v>51</v>
      </c>
      <c r="C21" s="6">
        <v>1</v>
      </c>
      <c r="D21" s="8" t="s">
        <v>114</v>
      </c>
    </row>
    <row r="22" spans="1:4">
      <c r="A22" s="8" t="s">
        <v>80</v>
      </c>
      <c r="B22" t="s">
        <v>57</v>
      </c>
      <c r="C22" s="6">
        <v>0</v>
      </c>
      <c r="D22" s="8" t="s">
        <v>115</v>
      </c>
    </row>
    <row r="23" spans="1:4" ht="23.85">
      <c r="A23" s="8" t="s">
        <v>81</v>
      </c>
      <c r="B23" t="s">
        <v>48</v>
      </c>
      <c r="C23" s="6">
        <v>0.75</v>
      </c>
      <c r="D23" s="8" t="s">
        <v>116</v>
      </c>
    </row>
    <row r="24" spans="1:4" ht="23.85">
      <c r="A24" s="8" t="s">
        <v>81</v>
      </c>
      <c r="B24" t="s">
        <v>51</v>
      </c>
      <c r="C24" s="6">
        <v>1</v>
      </c>
      <c r="D24" s="8" t="s">
        <v>117</v>
      </c>
    </row>
    <row r="25" spans="1:4" ht="23.85">
      <c r="A25" s="8" t="s">
        <v>82</v>
      </c>
      <c r="B25" t="s">
        <v>48</v>
      </c>
      <c r="C25" s="6">
        <v>0.5</v>
      </c>
      <c r="D25" s="8" t="s">
        <v>118</v>
      </c>
    </row>
    <row r="26" spans="1:4" ht="23.85">
      <c r="A26" s="8" t="s">
        <v>82</v>
      </c>
      <c r="B26" t="s">
        <v>51</v>
      </c>
      <c r="C26" s="6">
        <v>1</v>
      </c>
      <c r="D26" s="8" t="s">
        <v>119</v>
      </c>
    </row>
    <row r="27" spans="1:4" ht="35.1">
      <c r="A27" s="8" t="s">
        <v>83</v>
      </c>
      <c r="B27" t="s">
        <v>48</v>
      </c>
      <c r="C27" s="6">
        <v>0.75</v>
      </c>
      <c r="D27" s="8" t="s">
        <v>120</v>
      </c>
    </row>
    <row r="28" spans="1:4" ht="23.85">
      <c r="A28" s="8" t="s">
        <v>83</v>
      </c>
      <c r="B28" t="s">
        <v>54</v>
      </c>
      <c r="C28" s="6">
        <v>0.5</v>
      </c>
      <c r="D28" s="8" t="s">
        <v>121</v>
      </c>
    </row>
    <row r="29" spans="1:4" ht="23.85">
      <c r="A29" s="8" t="s">
        <v>84</v>
      </c>
      <c r="B29" t="s">
        <v>48</v>
      </c>
      <c r="C29" s="6">
        <v>0.75</v>
      </c>
      <c r="D29" s="8" t="s">
        <v>122</v>
      </c>
    </row>
    <row r="30" spans="1:4" ht="23.85">
      <c r="A30" s="8" t="s">
        <v>84</v>
      </c>
      <c r="B30" t="s">
        <v>54</v>
      </c>
      <c r="C30" s="6">
        <v>0.75</v>
      </c>
      <c r="D30" s="8" t="s">
        <v>123</v>
      </c>
    </row>
    <row r="31" spans="1:4" ht="23.85">
      <c r="A31" s="8" t="s">
        <v>84</v>
      </c>
      <c r="B31" t="s">
        <v>51</v>
      </c>
      <c r="C31" s="6">
        <v>1</v>
      </c>
      <c r="D31" s="8" t="s">
        <v>124</v>
      </c>
    </row>
    <row r="32" spans="1:4" ht="23.85">
      <c r="A32" s="8" t="s">
        <v>84</v>
      </c>
      <c r="B32" t="s">
        <v>57</v>
      </c>
      <c r="C32" s="6">
        <v>0</v>
      </c>
      <c r="D32" s="8" t="s">
        <v>125</v>
      </c>
    </row>
    <row r="33" spans="1:4" ht="23.85">
      <c r="A33" s="8" t="s">
        <v>85</v>
      </c>
      <c r="B33" t="s">
        <v>48</v>
      </c>
      <c r="C33" s="6">
        <v>1</v>
      </c>
      <c r="D33" s="8" t="s">
        <v>126</v>
      </c>
    </row>
    <row r="34" spans="1:4" ht="23.85">
      <c r="A34" s="8" t="s">
        <v>85</v>
      </c>
      <c r="B34" t="s">
        <v>54</v>
      </c>
      <c r="C34" s="6">
        <v>0.3</v>
      </c>
      <c r="D34" s="8" t="s">
        <v>127</v>
      </c>
    </row>
    <row r="35" spans="1:4" ht="23.85">
      <c r="A35" s="8" t="s">
        <v>85</v>
      </c>
      <c r="B35" t="s">
        <v>66</v>
      </c>
      <c r="C35" s="6">
        <v>0</v>
      </c>
      <c r="D35" s="8" t="s">
        <v>128</v>
      </c>
    </row>
    <row r="36" spans="1:4" ht="23.85">
      <c r="A36" s="8" t="s">
        <v>86</v>
      </c>
      <c r="B36" t="s">
        <v>48</v>
      </c>
      <c r="C36" s="6">
        <v>0.6</v>
      </c>
      <c r="D36" s="8" t="s">
        <v>129</v>
      </c>
    </row>
    <row r="37" spans="1:4" ht="23.85">
      <c r="A37" s="8" t="s">
        <v>86</v>
      </c>
      <c r="B37" t="s">
        <v>54</v>
      </c>
      <c r="C37" s="6">
        <v>0.5</v>
      </c>
      <c r="D37" s="8" t="s">
        <v>130</v>
      </c>
    </row>
    <row r="38" spans="1:4" ht="23.85">
      <c r="A38" s="8" t="s">
        <v>87</v>
      </c>
      <c r="B38" t="s">
        <v>48</v>
      </c>
      <c r="C38" s="6">
        <v>1</v>
      </c>
      <c r="D38" s="8" t="s">
        <v>131</v>
      </c>
    </row>
    <row r="39" spans="1:4" ht="23.85">
      <c r="A39" s="8" t="s">
        <v>87</v>
      </c>
      <c r="B39" t="s">
        <v>54</v>
      </c>
      <c r="C39" s="6">
        <v>0.4</v>
      </c>
      <c r="D39" s="8" t="s">
        <v>132</v>
      </c>
    </row>
    <row r="40" spans="1:4" ht="23.85">
      <c r="A40" s="8" t="s">
        <v>87</v>
      </c>
      <c r="B40" t="s">
        <v>51</v>
      </c>
      <c r="C40" s="6">
        <v>0.75</v>
      </c>
      <c r="D40" s="8" t="s">
        <v>133</v>
      </c>
    </row>
    <row r="41" spans="1:4" ht="23.85">
      <c r="A41" s="8" t="s">
        <v>88</v>
      </c>
      <c r="B41" t="s">
        <v>48</v>
      </c>
      <c r="C41" s="6">
        <v>1</v>
      </c>
      <c r="D41" s="8" t="s">
        <v>134</v>
      </c>
    </row>
    <row r="42" spans="1:4" ht="23.85">
      <c r="A42" s="8" t="s">
        <v>88</v>
      </c>
      <c r="B42" t="s">
        <v>60</v>
      </c>
      <c r="C42" s="6">
        <v>0</v>
      </c>
      <c r="D42" s="8" t="s">
        <v>135</v>
      </c>
    </row>
    <row r="43" spans="1:4" ht="23.85">
      <c r="A43" s="8" t="s">
        <v>88</v>
      </c>
      <c r="B43" t="s">
        <v>57</v>
      </c>
      <c r="C43" s="6">
        <v>0</v>
      </c>
      <c r="D43" s="8" t="s">
        <v>136</v>
      </c>
    </row>
    <row r="44" spans="1:4" ht="23.85">
      <c r="A44" s="8" t="s">
        <v>89</v>
      </c>
      <c r="B44" t="s">
        <v>48</v>
      </c>
      <c r="C44" s="6">
        <v>1</v>
      </c>
      <c r="D44" s="8" t="s">
        <v>137</v>
      </c>
    </row>
    <row r="45" spans="1:4" ht="23.85">
      <c r="A45" s="8" t="s">
        <v>89</v>
      </c>
      <c r="B45" t="s">
        <v>54</v>
      </c>
      <c r="C45" s="6">
        <v>1</v>
      </c>
      <c r="D45" s="8" t="s">
        <v>138</v>
      </c>
    </row>
    <row r="46" spans="1:4" ht="23.85">
      <c r="A46" s="8" t="s">
        <v>89</v>
      </c>
      <c r="B46" t="s">
        <v>63</v>
      </c>
      <c r="C46" s="6">
        <v>0.75</v>
      </c>
      <c r="D46" s="8" t="s">
        <v>139</v>
      </c>
    </row>
    <row r="47" spans="1:4" ht="23.85">
      <c r="A47" s="8" t="s">
        <v>89</v>
      </c>
      <c r="B47" t="s">
        <v>51</v>
      </c>
      <c r="C47" s="6">
        <v>1</v>
      </c>
      <c r="D47" s="8" t="s">
        <v>140</v>
      </c>
    </row>
    <row r="48" spans="1:4" ht="23.85">
      <c r="A48" s="8" t="s">
        <v>89</v>
      </c>
      <c r="B48" t="s">
        <v>71</v>
      </c>
      <c r="C48" s="6">
        <v>0.4</v>
      </c>
      <c r="D48" s="8" t="s">
        <v>141</v>
      </c>
    </row>
    <row r="49" spans="1:4" ht="23.85">
      <c r="A49" s="8" t="s">
        <v>89</v>
      </c>
      <c r="B49" t="s">
        <v>69</v>
      </c>
      <c r="C49" s="6">
        <v>0.6</v>
      </c>
      <c r="D49" s="8" t="s">
        <v>142</v>
      </c>
    </row>
    <row r="50" spans="1:4" ht="23.85">
      <c r="A50" s="8" t="s">
        <v>89</v>
      </c>
      <c r="B50" t="s">
        <v>60</v>
      </c>
      <c r="C50" s="6">
        <v>0.6</v>
      </c>
      <c r="D50" s="8" t="s">
        <v>143</v>
      </c>
    </row>
    <row r="51" spans="1:4" ht="23.85">
      <c r="A51" s="8" t="s">
        <v>89</v>
      </c>
      <c r="B51" t="s">
        <v>66</v>
      </c>
      <c r="C51" s="6">
        <v>0.6</v>
      </c>
      <c r="D51" s="8" t="s">
        <v>142</v>
      </c>
    </row>
    <row r="52" spans="1:4" ht="23.85">
      <c r="A52" s="8" t="s">
        <v>89</v>
      </c>
      <c r="B52" t="s">
        <v>57</v>
      </c>
      <c r="C52" s="6">
        <v>0.5</v>
      </c>
      <c r="D52" s="8" t="s">
        <v>144</v>
      </c>
    </row>
    <row r="53" spans="1:4" ht="23.85">
      <c r="A53" s="8" t="s">
        <v>90</v>
      </c>
      <c r="B53" t="s">
        <v>48</v>
      </c>
      <c r="C53" s="6">
        <v>1</v>
      </c>
      <c r="D53" s="8" t="s">
        <v>145</v>
      </c>
    </row>
    <row r="54" spans="1:4" ht="23.85">
      <c r="A54" s="8" t="s">
        <v>90</v>
      </c>
      <c r="B54" t="s">
        <v>54</v>
      </c>
      <c r="C54" s="6">
        <v>0.7</v>
      </c>
      <c r="D54" s="8" t="s">
        <v>142</v>
      </c>
    </row>
    <row r="55" spans="1:4" ht="23.85">
      <c r="A55" s="8" t="s">
        <v>90</v>
      </c>
      <c r="B55" t="s">
        <v>63</v>
      </c>
      <c r="C55" s="6">
        <v>0.5</v>
      </c>
      <c r="D55" s="8" t="s">
        <v>146</v>
      </c>
    </row>
    <row r="56" spans="1:4" ht="23.85">
      <c r="A56" s="8" t="s">
        <v>90</v>
      </c>
      <c r="B56" t="s">
        <v>51</v>
      </c>
      <c r="C56" s="6">
        <v>0.7</v>
      </c>
      <c r="D56" s="8" t="s">
        <v>142</v>
      </c>
    </row>
    <row r="57" spans="1:4" ht="23.85">
      <c r="A57" s="8" t="s">
        <v>90</v>
      </c>
      <c r="B57" t="s">
        <v>71</v>
      </c>
      <c r="C57" s="6">
        <v>0.25</v>
      </c>
      <c r="D57" s="8" t="s">
        <v>147</v>
      </c>
    </row>
    <row r="58" spans="1:4" ht="23.85">
      <c r="A58" s="8" t="s">
        <v>90</v>
      </c>
      <c r="B58" t="s">
        <v>69</v>
      </c>
      <c r="C58" s="6">
        <v>0.5</v>
      </c>
      <c r="D58" s="8" t="s">
        <v>148</v>
      </c>
    </row>
    <row r="59" spans="1:4" ht="23.85">
      <c r="A59" s="8" t="s">
        <v>90</v>
      </c>
      <c r="B59" t="s">
        <v>60</v>
      </c>
      <c r="C59" s="6">
        <v>0.7</v>
      </c>
      <c r="D59" s="8" t="s">
        <v>142</v>
      </c>
    </row>
    <row r="60" spans="1:4" ht="23.85">
      <c r="A60" s="8" t="s">
        <v>90</v>
      </c>
      <c r="B60" t="s">
        <v>66</v>
      </c>
      <c r="C60" s="6">
        <v>0.7</v>
      </c>
      <c r="D60" s="8" t="s">
        <v>142</v>
      </c>
    </row>
    <row r="61" spans="1:4" ht="23.85">
      <c r="A61" s="8" t="s">
        <v>90</v>
      </c>
      <c r="B61" t="s">
        <v>57</v>
      </c>
      <c r="C61" s="6">
        <v>1</v>
      </c>
      <c r="D61" s="8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Kashyap, Anand</dc:creator>
  <cp:keywords/>
  <dc:description/>
  <cp:lastModifiedBy/>
  <cp:revision>0</cp:revision>
  <dcterms:created xsi:type="dcterms:W3CDTF">2026-10-05T06:19:18Z</dcterms:created>
  <dcterms:modified xsi:type="dcterms:W3CDTF">2026-10-05T06:36:11Z</dcterms:modified>
  <cp:category/>
  <cp:contentStatus/>
</cp:coreProperties>
</file>